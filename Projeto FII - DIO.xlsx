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rissa.biajante\Documents\Certificados\"/>
    </mc:Choice>
  </mc:AlternateContent>
  <xr:revisionPtr revIDLastSave="0" documentId="13_ncr:1_{637D34D3-1636-416E-AB0A-B4246636E98B}" xr6:coauthVersionLast="47" xr6:coauthVersionMax="47" xr10:uidLastSave="{00000000-0000-0000-0000-000000000000}"/>
  <bookViews>
    <workbookView xWindow="11520" yWindow="0" windowWidth="11520" windowHeight="12360" xr2:uid="{819802EE-0FC8-4BA0-B426-1F576C2D52C3}"/>
  </bookViews>
  <sheets>
    <sheet name="Planilha1" sheetId="1" r:id="rId1"/>
    <sheet name="Planilha2" sheetId="2" r:id="rId2"/>
  </sheets>
  <definedNames>
    <definedName name="aporte">Planilha1!$D$18</definedName>
    <definedName name="patrimonio">Planilha1!$D$21</definedName>
    <definedName name="qtd_anos">Planilha1!$D$19</definedName>
    <definedName name="rendimento_carteira">Planilha1!$D$14</definedName>
    <definedName name="salario">Planilha1!$D$13</definedName>
    <definedName name="sugestao_investimento">Planilha1!$D$15</definedName>
    <definedName name="taxa_mensal">Planilha1!$D$20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  <c r="C38" i="1"/>
  <c r="C39" i="1"/>
  <c r="C40" i="1"/>
  <c r="C41" i="1"/>
  <c r="C36" i="1"/>
  <c r="G3" i="2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3" i="1"/>
  <c r="D21" i="1"/>
  <c r="D22" i="1" s="1"/>
  <c r="D15" i="1"/>
  <c r="C25" i="1"/>
  <c r="D25" i="1" s="1"/>
  <c r="C26" i="1"/>
  <c r="D26" i="1" s="1"/>
  <c r="C27" i="1"/>
  <c r="D27" i="1" s="1"/>
  <c r="C28" i="1"/>
  <c r="D28" i="1" s="1"/>
  <c r="C29" i="1"/>
  <c r="D29" i="1" s="1"/>
  <c r="D37" i="1" l="1"/>
  <c r="D41" i="1"/>
  <c r="D40" i="1"/>
  <c r="D38" i="1"/>
  <c r="D36" i="1"/>
  <c r="D39" i="1"/>
  <c r="D42" i="1" l="1"/>
</calcChain>
</file>

<file path=xl/sharedStrings.xml><?xml version="1.0" encoding="utf-8"?>
<sst xmlns="http://schemas.openxmlformats.org/spreadsheetml/2006/main" count="71" uniqueCount="34">
  <si>
    <t>Quanto investir por mês?</t>
  </si>
  <si>
    <t>Por quantos anos?</t>
  </si>
  <si>
    <t>Taxa de rendimento mensal?</t>
  </si>
  <si>
    <t>Patrimônio acumulado?</t>
  </si>
  <si>
    <t>Dividendos mensais?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</si>
  <si>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</si>
  <si>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</si>
  <si>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</si>
  <si>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</si>
  <si>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</si>
  <si>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</si>
  <si>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Rendimento Carteira</t>
  </si>
  <si>
    <t>Salário</t>
  </si>
  <si>
    <t>CONFIGURAÇÕES</t>
  </si>
  <si>
    <t>CENÁRIOS</t>
  </si>
  <si>
    <t>DIVIDENDOS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</si>
  <si>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</si>
  <si>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</si>
  <si>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</si>
  <si>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</si>
  <si>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</si>
  <si>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</si>
  <si>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</si>
  <si>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</si>
  <si>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</si>
  <si>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</si>
  <si>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</si>
  <si>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</si>
  <si>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</si>
  <si>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</si>
  <si>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</si>
  <si>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</si>
  <si>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 - TIJOLO</t>
  </si>
  <si>
    <t>Sugestão de Investimentos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</si>
</sst>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9" formatCode="&quot;R$&quot;\ 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Segoe UI"/>
      <family val="2"/>
    </font>
    <font>
      <b/>
      <sz val="18"/>
      <color theme="0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2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rgb="FF9C5700"/>
      <name val="Aptos Narrow"/>
      <family val="2"/>
      <scheme val="minor"/>
    </font>
    <font>
      <b/>
      <strike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/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indexed="64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 style="thin">
        <color theme="2" tint="-0.24994659260841701"/>
      </left>
      <right style="medium">
        <color indexed="64"/>
      </right>
      <top style="thin">
        <color theme="2" tint="-0.2499465926084170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3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169" fontId="7" fillId="0" borderId="4" xfId="1" applyNumberFormat="1" applyFont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10" fontId="7" fillId="0" borderId="6" xfId="2" applyNumberFormat="1" applyFont="1" applyBorder="1" applyAlignment="1">
      <alignment horizontal="center" vertical="center"/>
    </xf>
    <xf numFmtId="8" fontId="7" fillId="5" borderId="6" xfId="0" applyNumberFormat="1" applyFont="1" applyFill="1" applyBorder="1" applyAlignment="1">
      <alignment horizontal="center" vertical="center"/>
    </xf>
    <xf numFmtId="8" fontId="7" fillId="5" borderId="8" xfId="0" applyNumberFormat="1" applyFont="1" applyFill="1" applyBorder="1" applyAlignment="1">
      <alignment horizontal="center" vertical="center"/>
    </xf>
    <xf numFmtId="0" fontId="8" fillId="0" borderId="0" xfId="0" applyFont="1"/>
    <xf numFmtId="0" fontId="6" fillId="0" borderId="0" xfId="0" applyFont="1" applyFill="1" applyAlignment="1">
      <alignment vertical="center"/>
    </xf>
    <xf numFmtId="0" fontId="9" fillId="3" borderId="2" xfId="0" applyFont="1" applyFill="1" applyBorder="1" applyAlignment="1">
      <alignment horizontal="center" vertical="center"/>
    </xf>
    <xf numFmtId="10" fontId="0" fillId="0" borderId="6" xfId="2" applyNumberFormat="1" applyFont="1" applyBorder="1" applyAlignment="1">
      <alignment horizontal="center" vertical="center"/>
    </xf>
    <xf numFmtId="0" fontId="10" fillId="0" borderId="0" xfId="0" applyFont="1"/>
    <xf numFmtId="169" fontId="0" fillId="0" borderId="4" xfId="0" applyNumberFormat="1" applyFont="1" applyBorder="1" applyAlignment="1">
      <alignment horizontal="center" vertical="center"/>
    </xf>
    <xf numFmtId="0" fontId="11" fillId="5" borderId="5" xfId="0" applyFont="1" applyFill="1" applyBorder="1" applyAlignment="1">
      <alignment horizontal="left" indent="3"/>
    </xf>
    <xf numFmtId="0" fontId="11" fillId="5" borderId="11" xfId="0" applyFont="1" applyFill="1" applyBorder="1" applyAlignment="1">
      <alignment horizontal="left" indent="3"/>
    </xf>
    <xf numFmtId="0" fontId="11" fillId="5" borderId="7" xfId="0" applyFont="1" applyFill="1" applyBorder="1" applyAlignment="1">
      <alignment horizontal="left" indent="3"/>
    </xf>
    <xf numFmtId="0" fontId="11" fillId="5" borderId="21" xfId="0" applyFont="1" applyFill="1" applyBorder="1" applyAlignment="1">
      <alignment horizontal="left" indent="3"/>
    </xf>
    <xf numFmtId="0" fontId="10" fillId="4" borderId="3" xfId="0" applyFont="1" applyFill="1" applyBorder="1" applyAlignment="1">
      <alignment horizontal="left" indent="3"/>
    </xf>
    <xf numFmtId="0" fontId="10" fillId="4" borderId="10" xfId="0" applyFont="1" applyFill="1" applyBorder="1" applyAlignment="1">
      <alignment horizontal="left" indent="3"/>
    </xf>
    <xf numFmtId="0" fontId="10" fillId="4" borderId="5" xfId="0" applyFont="1" applyFill="1" applyBorder="1" applyAlignment="1">
      <alignment horizontal="left" indent="3"/>
    </xf>
    <xf numFmtId="0" fontId="10" fillId="4" borderId="11" xfId="0" applyFont="1" applyFill="1" applyBorder="1" applyAlignment="1">
      <alignment horizontal="left" indent="3"/>
    </xf>
    <xf numFmtId="0" fontId="10" fillId="4" borderId="7" xfId="0" applyFont="1" applyFill="1" applyBorder="1" applyAlignment="1">
      <alignment horizontal="left" indent="3"/>
    </xf>
    <xf numFmtId="0" fontId="10" fillId="4" borderId="21" xfId="0" applyFont="1" applyFill="1" applyBorder="1" applyAlignment="1">
      <alignment horizontal="left" indent="3"/>
    </xf>
    <xf numFmtId="0" fontId="10" fillId="4" borderId="14" xfId="0" applyFont="1" applyFill="1" applyBorder="1" applyAlignment="1">
      <alignment horizontal="left" indent="3"/>
    </xf>
    <xf numFmtId="8" fontId="8" fillId="4" borderId="12" xfId="0" applyNumberFormat="1" applyFont="1" applyFill="1" applyBorder="1" applyAlignment="1">
      <alignment horizontal="center" vertical="center"/>
    </xf>
    <xf numFmtId="8" fontId="8" fillId="4" borderId="15" xfId="0" applyNumberFormat="1" applyFont="1" applyFill="1" applyBorder="1" applyAlignment="1">
      <alignment horizontal="center" vertical="center"/>
    </xf>
    <xf numFmtId="0" fontId="10" fillId="4" borderId="16" xfId="0" applyFont="1" applyFill="1" applyBorder="1" applyAlignment="1">
      <alignment horizontal="left" indent="3"/>
    </xf>
    <xf numFmtId="8" fontId="8" fillId="4" borderId="13" xfId="0" applyNumberFormat="1" applyFont="1" applyFill="1" applyBorder="1" applyAlignment="1">
      <alignment horizontal="center" vertical="center"/>
    </xf>
    <xf numFmtId="8" fontId="8" fillId="4" borderId="17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left" indent="3"/>
    </xf>
    <xf numFmtId="8" fontId="8" fillId="4" borderId="19" xfId="0" applyNumberFormat="1" applyFont="1" applyFill="1" applyBorder="1" applyAlignment="1">
      <alignment horizontal="center" vertical="center"/>
    </xf>
    <xf numFmtId="8" fontId="8" fillId="4" borderId="20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169" fontId="0" fillId="4" borderId="8" xfId="0" applyNumberFormat="1" applyFont="1" applyFill="1" applyBorder="1" applyAlignment="1">
      <alignment horizontal="center" vertical="center"/>
    </xf>
    <xf numFmtId="0" fontId="2" fillId="2" borderId="0" xfId="3"/>
    <xf numFmtId="0" fontId="0" fillId="4" borderId="0" xfId="0" applyFill="1"/>
    <xf numFmtId="0" fontId="12" fillId="2" borderId="0" xfId="3" applyFont="1" applyBorder="1" applyAlignment="1">
      <alignment horizontal="left" indent="3"/>
    </xf>
    <xf numFmtId="0" fontId="3" fillId="4" borderId="0" xfId="0" applyFont="1" applyFill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/>
    </xf>
    <xf numFmtId="169" fontId="0" fillId="4" borderId="0" xfId="0" applyNumberFormat="1" applyFill="1" applyAlignment="1">
      <alignment horizontal="center"/>
    </xf>
    <xf numFmtId="0" fontId="3" fillId="7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0" fillId="7" borderId="0" xfId="0" applyFill="1"/>
    <xf numFmtId="169" fontId="3" fillId="7" borderId="0" xfId="0" applyNumberFormat="1" applyFont="1" applyFill="1" applyAlignment="1">
      <alignment horizontal="center"/>
    </xf>
    <xf numFmtId="0" fontId="0" fillId="0" borderId="22" xfId="0" applyBorder="1"/>
    <xf numFmtId="0" fontId="0" fillId="0" borderId="22" xfId="0" applyBorder="1" applyAlignment="1">
      <alignment horizontal="center" vertical="center"/>
    </xf>
    <xf numFmtId="9" fontId="0" fillId="0" borderId="22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3" fillId="4" borderId="0" xfId="0" applyFont="1" applyFill="1" applyAlignment="1">
      <alignment horizontal="center"/>
    </xf>
    <xf numFmtId="9" fontId="0" fillId="0" borderId="0" xfId="0" applyNumberFormat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9" fontId="0" fillId="0" borderId="0" xfId="0" applyNumberFormat="1" applyBorder="1" applyAlignment="1">
      <alignment horizontal="center" vertical="center"/>
    </xf>
    <xf numFmtId="9" fontId="2" fillId="2" borderId="0" xfId="2" applyFont="1" applyFill="1"/>
    <xf numFmtId="0" fontId="12" fillId="2" borderId="0" xfId="3" applyFont="1" applyAlignment="1">
      <alignment horizontal="center"/>
    </xf>
    <xf numFmtId="169" fontId="3" fillId="4" borderId="0" xfId="0" applyNumberFormat="1" applyFont="1" applyFill="1" applyAlignment="1">
      <alignment horizont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Planilha1!$C$35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Planilha1!$B$36:$B$41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Planilha1!$C$36:$C$41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6-4884-97A9-9A5EC3558F8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356135</xdr:colOff>
      <xdr:row>0</xdr:row>
      <xdr:rowOff>175260</xdr:rowOff>
    </xdr:from>
    <xdr:to>
      <xdr:col>4</xdr:col>
      <xdr:colOff>250658</xdr:colOff>
      <xdr:row>9</xdr:row>
      <xdr:rowOff>150396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98AEAFF-FC95-4452-8E3E-0039EE55A1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" b="11858"/>
        <a:stretch>
          <a:fillRect/>
        </a:stretch>
      </xdr:blipFill>
      <xdr:spPr>
        <a:xfrm>
          <a:off x="356135" y="175260"/>
          <a:ext cx="8577312" cy="1569320"/>
        </a:xfrm>
        <a:prstGeom prst="rect">
          <a:avLst/>
        </a:prstGeom>
      </xdr:spPr>
    </xdr:pic>
    <xdr:clientData/>
  </xdr:twoCellAnchor>
  <xdr:twoCellAnchor>
    <xdr:from>
      <xdr:col>0</xdr:col>
      <xdr:colOff>461210</xdr:colOff>
      <xdr:row>42</xdr:row>
      <xdr:rowOff>32084</xdr:rowOff>
    </xdr:from>
    <xdr:to>
      <xdr:col>4</xdr:col>
      <xdr:colOff>411079</xdr:colOff>
      <xdr:row>63</xdr:row>
      <xdr:rowOff>60158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0AABB27-F5DC-03A5-19DB-1A20650D4E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F797-3824-4F47-91D9-E003851FC098}">
  <dimension ref="A6:H77"/>
  <sheetViews>
    <sheetView showGridLines="0" tabSelected="1" zoomScale="76" zoomScaleNormal="76" workbookViewId="0">
      <selection activeCell="D69" sqref="D6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4.4" x14ac:dyDescent="0.3"/>
  <cols>
    <col min="1" max="1" width="7.88671875" customWidth="1"/>
    <col min="2" max="2" width="52.88671875" customWidth="1"/>
    <col min="3" max="3" width="44.77734375" customWidth="1"/>
    <col min="4" max="4" width="21.109375" customWidth="1"/>
    <col min="5" max="5" width="13.109375" customWidth="1"/>
    <col min="6" max="6" width="6.77734375" hidden="1" customWidth="1"/>
    <col min="7" max="7" width="5.5546875" hidden="1" customWidth="1"/>
    <col min="8" max="8" width="9" hidden="1" customWidth="1"/>
    <col min="9" max="11" width="8.88671875" hidden="1" customWidth="1"/>
    <col min="12" max="16384" width="8.88671875" hidden="1"/>
  </cols>
  <sheetData>
    <row r="6" spans="2:4" ht="12" customHeight="1" x14ac:dyDescent="0.3"/>
    <row r="11" spans="2:4" ht="15" thickBot="1" x14ac:dyDescent="0.35"/>
    <row r="12" spans="2:4" ht="29.4" x14ac:dyDescent="0.3">
      <c r="B12" s="35" t="s">
        <v>13</v>
      </c>
      <c r="C12" s="36"/>
      <c r="D12" s="37"/>
    </row>
    <row r="13" spans="2:4" ht="19.2" x14ac:dyDescent="0.45">
      <c r="B13" s="20" t="s">
        <v>12</v>
      </c>
      <c r="C13" s="21"/>
      <c r="D13" s="15">
        <v>2000</v>
      </c>
    </row>
    <row r="14" spans="2:4" ht="19.2" x14ac:dyDescent="0.45">
      <c r="B14" s="22" t="s">
        <v>11</v>
      </c>
      <c r="C14" s="23"/>
      <c r="D14" s="13">
        <v>6.0000000000000001E-3</v>
      </c>
    </row>
    <row r="15" spans="2:4" ht="19.8" thickBot="1" x14ac:dyDescent="0.5">
      <c r="B15" s="24" t="s">
        <v>33</v>
      </c>
      <c r="C15" s="25"/>
      <c r="D15" s="38">
        <f>D13*30%</f>
        <v>600</v>
      </c>
    </row>
    <row r="16" spans="2:4" ht="15" thickBot="1" x14ac:dyDescent="0.35"/>
    <row r="17" spans="1:7" ht="31.8" customHeight="1" x14ac:dyDescent="0.3">
      <c r="B17" s="2" t="s">
        <v>5</v>
      </c>
      <c r="C17" s="4"/>
      <c r="D17" s="3"/>
      <c r="G17" s="11"/>
    </row>
    <row r="18" spans="1:7" ht="19.2" x14ac:dyDescent="0.45">
      <c r="B18" s="20" t="s">
        <v>0</v>
      </c>
      <c r="C18" s="21"/>
      <c r="D18" s="5">
        <v>200</v>
      </c>
    </row>
    <row r="19" spans="1:7" ht="19.2" x14ac:dyDescent="0.45">
      <c r="B19" s="22" t="s">
        <v>1</v>
      </c>
      <c r="C19" s="23"/>
      <c r="D19" s="6">
        <v>5</v>
      </c>
    </row>
    <row r="20" spans="1:7" ht="19.2" x14ac:dyDescent="0.45">
      <c r="B20" s="22" t="s">
        <v>2</v>
      </c>
      <c r="C20" s="23"/>
      <c r="D20" s="7">
        <v>1.0789999999999999E-2</v>
      </c>
    </row>
    <row r="21" spans="1:7" ht="19.2" x14ac:dyDescent="0.45">
      <c r="B21" s="16" t="s">
        <v>3</v>
      </c>
      <c r="C21" s="17"/>
      <c r="D21" s="8">
        <f>FV(taxa_mensal,qtd_anos*12,aporte*-1)</f>
        <v>16755.382799697527</v>
      </c>
    </row>
    <row r="22" spans="1:7" ht="19.8" thickBot="1" x14ac:dyDescent="0.5">
      <c r="B22" s="18" t="s">
        <v>4</v>
      </c>
      <c r="C22" s="19"/>
      <c r="D22" s="9">
        <f>patrimonio*rendimento_carteira</f>
        <v>100.53229679818516</v>
      </c>
    </row>
    <row r="23" spans="1:7" ht="19.8" thickBot="1" x14ac:dyDescent="0.5">
      <c r="B23" s="14"/>
      <c r="C23" s="10"/>
    </row>
    <row r="24" spans="1:7" ht="29.4" x14ac:dyDescent="0.3">
      <c r="B24" s="2" t="s">
        <v>14</v>
      </c>
      <c r="C24" s="4"/>
      <c r="D24" s="12" t="s">
        <v>15</v>
      </c>
    </row>
    <row r="25" spans="1:7" ht="19.2" x14ac:dyDescent="0.45">
      <c r="A25" s="1">
        <v>2</v>
      </c>
      <c r="B25" s="26" t="s">
        <v>6</v>
      </c>
      <c r="C25" s="27">
        <f>FV($D$20,$A25*12,$D$18*-1)</f>
        <v>5445.5254595290435</v>
      </c>
      <c r="D25" s="28">
        <f>$C25*rendimento_carteira</f>
        <v>32.673152757174265</v>
      </c>
    </row>
    <row r="26" spans="1:7" ht="19.2" x14ac:dyDescent="0.45">
      <c r="A26" s="1">
        <v>5</v>
      </c>
      <c r="B26" s="29" t="s">
        <v>7</v>
      </c>
      <c r="C26" s="30">
        <f>FV($D$20,$A26*12,$D$18*-1)</f>
        <v>16755.382799697527</v>
      </c>
      <c r="D26" s="31">
        <f>$C26*rendimento_carteira</f>
        <v>100.53229679818516</v>
      </c>
    </row>
    <row r="27" spans="1:7" ht="19.2" x14ac:dyDescent="0.45">
      <c r="A27" s="1">
        <v>10</v>
      </c>
      <c r="B27" s="29" t="s">
        <v>8</v>
      </c>
      <c r="C27" s="30">
        <f>FV($D$20,$A27*12,$D$18*-1)</f>
        <v>48656.842506034438</v>
      </c>
      <c r="D27" s="31">
        <f>$C27*rendimento_carteira</f>
        <v>291.94105503620665</v>
      </c>
    </row>
    <row r="28" spans="1:7" ht="19.2" x14ac:dyDescent="0.45">
      <c r="A28" s="1">
        <v>20</v>
      </c>
      <c r="B28" s="29" t="s">
        <v>9</v>
      </c>
      <c r="C28" s="30">
        <f>FV($D$20,$A28*12,$D$18*-1)</f>
        <v>225039.68001941612</v>
      </c>
      <c r="D28" s="31">
        <f>$C28*rendimento_carteira</f>
        <v>1350.2380801164968</v>
      </c>
    </row>
    <row r="29" spans="1:7" ht="19.8" thickBot="1" x14ac:dyDescent="0.5">
      <c r="A29" s="1">
        <v>30</v>
      </c>
      <c r="B29" s="32" t="s">
        <v>10</v>
      </c>
      <c r="C29" s="33">
        <f>FV($D$20,$A29*12,$D$18*-1)</f>
        <v>864433.93100094295</v>
      </c>
      <c r="D29" s="34">
        <f>$C29*rendimento_carteira</f>
        <v>5186.6035860056581</v>
      </c>
    </row>
    <row r="32" spans="1:7" x14ac:dyDescent="0.3">
      <c r="B32" s="41" t="s">
        <v>20</v>
      </c>
      <c r="C32" s="61" t="s">
        <v>18</v>
      </c>
      <c r="D32" s="39"/>
    </row>
    <row r="33" spans="2:4" x14ac:dyDescent="0.3">
      <c r="B33" s="42" t="s">
        <v>19</v>
      </c>
      <c r="C33" s="62">
        <f>aporte</f>
        <v>200</v>
      </c>
      <c r="D33" s="40"/>
    </row>
    <row r="35" spans="2:4" x14ac:dyDescent="0.3">
      <c r="B35" s="46" t="s">
        <v>21</v>
      </c>
      <c r="C35" s="47" t="s">
        <v>22</v>
      </c>
      <c r="D35" s="47" t="s">
        <v>23</v>
      </c>
    </row>
    <row r="36" spans="2:4" x14ac:dyDescent="0.3">
      <c r="B36" s="43" t="s">
        <v>24</v>
      </c>
      <c r="C36" s="44">
        <f>VLOOKUP($C$32&amp;" - "&amp;B36,Planilha2!$A:$D,4,FALSE)</f>
        <v>0.5</v>
      </c>
      <c r="D36" s="45">
        <f>$C$33*C36</f>
        <v>100</v>
      </c>
    </row>
    <row r="37" spans="2:4" x14ac:dyDescent="0.3">
      <c r="B37" s="43" t="s">
        <v>25</v>
      </c>
      <c r="C37" s="44">
        <f>VLOOKUP($C$32&amp;" - "&amp;B37,Planilha2!$A:$D,4,FALSE)</f>
        <v>0.1</v>
      </c>
      <c r="D37" s="45">
        <f>$C$33*C37</f>
        <v>20</v>
      </c>
    </row>
    <row r="38" spans="2:4" x14ac:dyDescent="0.3">
      <c r="B38" s="43" t="s">
        <v>26</v>
      </c>
      <c r="C38" s="44">
        <f>VLOOKUP($C$32&amp;" - "&amp;B38,Planilha2!$A:$D,4,FALSE)</f>
        <v>0.05</v>
      </c>
      <c r="D38" s="45">
        <f t="shared" ref="D37:D41" si="0">$C$33*C38</f>
        <v>10</v>
      </c>
    </row>
    <row r="39" spans="2:4" x14ac:dyDescent="0.3">
      <c r="B39" s="43" t="s">
        <v>27</v>
      </c>
      <c r="C39" s="44">
        <f>VLOOKUP($C$32&amp;" - "&amp;B39,Planilha2!$A:$D,4,FALSE)</f>
        <v>0.05</v>
      </c>
      <c r="D39" s="45">
        <f t="shared" si="0"/>
        <v>10</v>
      </c>
    </row>
    <row r="40" spans="2:4" x14ac:dyDescent="0.3">
      <c r="B40" s="43" t="s">
        <v>28</v>
      </c>
      <c r="C40" s="44">
        <f>VLOOKUP($C$32&amp;" - "&amp;B40,Planilha2!$A:$D,4,FALSE)</f>
        <v>0.2</v>
      </c>
      <c r="D40" s="45">
        <f t="shared" si="0"/>
        <v>40</v>
      </c>
    </row>
    <row r="41" spans="2:4" x14ac:dyDescent="0.3">
      <c r="B41" s="43" t="s">
        <v>29</v>
      </c>
      <c r="C41" s="44">
        <f>VLOOKUP($C$32&amp;" - "&amp;B41,Planilha2!$A:$D,4,FALSE)</f>
        <v>0.1</v>
      </c>
      <c r="D41" s="45">
        <f t="shared" si="0"/>
        <v>20</v>
      </c>
    </row>
    <row r="42" spans="2:4" x14ac:dyDescent="0.3">
      <c r="B42" s="48"/>
      <c r="C42" s="48"/>
      <c r="D42" s="49">
        <f>SUM(D36:D41)</f>
        <v>200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</sheetData>
  <mergeCells count="11">
    <mergeCell ref="B17:D17"/>
    <mergeCell ref="B12:D12"/>
    <mergeCell ref="B13:C13"/>
    <mergeCell ref="B14:C14"/>
    <mergeCell ref="B15:C15"/>
    <mergeCell ref="B24:C24"/>
    <mergeCell ref="B18:C18"/>
    <mergeCell ref="B19:C19"/>
    <mergeCell ref="B20:C20"/>
    <mergeCell ref="B21:C21"/>
    <mergeCell ref="B22:C22"/>
  </mergeCells>
  <dataValidations count="1">
    <dataValidation type="list" allowBlank="1" showInputMessage="1" showErrorMessage="1" sqref="C32" xr:uid="{D6885C90-C2E8-439B-B528-F056A61E733A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805DF-0795-443E-97C8-70ED3968C09E}">
  <dimension ref="A2:G20"/>
  <sheetViews>
    <sheetView workbookViewId="0">
      <selection activeCell="D13" sqref="D13"/>
    </sheetView>
  </sheetViews>
  <sheetFormatPr defaultRowHeight="14.4" x14ac:dyDescent="0.3"/>
  <cols>
    <col min="1" max="1" width="29.5546875" bestFit="1" customWidth="1"/>
    <col min="2" max="2" width="11.21875" bestFit="1" customWidth="1"/>
    <col min="3" max="3" width="17.6640625" bestFit="1" customWidth="1"/>
    <col min="6" max="6" width="16.109375" bestFit="1" customWidth="1"/>
  </cols>
  <sheetData>
    <row r="2" spans="1:7" x14ac:dyDescent="0.3">
      <c r="A2" s="42" t="s">
        <v>31</v>
      </c>
      <c r="B2" s="42" t="s">
        <v>20</v>
      </c>
      <c r="C2" s="55" t="s">
        <v>21</v>
      </c>
      <c r="D2" s="56" t="s">
        <v>30</v>
      </c>
      <c r="G2" t="s">
        <v>30</v>
      </c>
    </row>
    <row r="3" spans="1:7" x14ac:dyDescent="0.3">
      <c r="A3" t="str">
        <f>B3&amp;" - "&amp;C3</f>
        <v>Conservador - PAPEL</v>
      </c>
      <c r="B3" t="s">
        <v>16</v>
      </c>
      <c r="C3" s="43" t="s">
        <v>24</v>
      </c>
      <c r="D3" s="57">
        <v>0.3</v>
      </c>
      <c r="F3" s="39" t="s">
        <v>32</v>
      </c>
      <c r="G3" s="60">
        <f>VLOOKUP(F3,$A:$D,4,FALSE)</f>
        <v>0.35</v>
      </c>
    </row>
    <row r="4" spans="1:7" x14ac:dyDescent="0.3">
      <c r="A4" t="str">
        <f t="shared" ref="A4:A20" si="0">B4&amp;" - "&amp;C4</f>
        <v>Conservador - TIJOLO</v>
      </c>
      <c r="B4" t="s">
        <v>16</v>
      </c>
      <c r="C4" s="43" t="s">
        <v>25</v>
      </c>
      <c r="D4" s="57">
        <v>0.5</v>
      </c>
    </row>
    <row r="5" spans="1:7" x14ac:dyDescent="0.3">
      <c r="A5" t="str">
        <f t="shared" si="0"/>
        <v>Conservador - HÍBRIDOS</v>
      </c>
      <c r="B5" t="s">
        <v>16</v>
      </c>
      <c r="C5" s="43" t="s">
        <v>26</v>
      </c>
      <c r="D5" s="57">
        <v>0.1</v>
      </c>
    </row>
    <row r="6" spans="1:7" x14ac:dyDescent="0.3">
      <c r="A6" t="str">
        <f t="shared" si="0"/>
        <v>Conservador - FOFs</v>
      </c>
      <c r="B6" t="s">
        <v>16</v>
      </c>
      <c r="C6" s="43" t="s">
        <v>27</v>
      </c>
      <c r="D6" s="57">
        <v>0.1</v>
      </c>
    </row>
    <row r="7" spans="1:7" x14ac:dyDescent="0.3">
      <c r="A7" t="str">
        <f t="shared" si="0"/>
        <v>Conservador - DESENVOLVIMENTO</v>
      </c>
      <c r="B7" t="s">
        <v>16</v>
      </c>
      <c r="C7" s="43" t="s">
        <v>28</v>
      </c>
      <c r="D7" s="57">
        <v>0</v>
      </c>
    </row>
    <row r="8" spans="1:7" x14ac:dyDescent="0.3">
      <c r="A8" s="50" t="str">
        <f t="shared" si="0"/>
        <v>Conservador - HOTELARIAS</v>
      </c>
      <c r="B8" s="50" t="s">
        <v>16</v>
      </c>
      <c r="C8" s="51" t="s">
        <v>29</v>
      </c>
      <c r="D8" s="58">
        <v>0</v>
      </c>
    </row>
    <row r="9" spans="1:7" x14ac:dyDescent="0.3">
      <c r="A9" t="str">
        <f t="shared" si="0"/>
        <v>Moderado - PAPEL</v>
      </c>
      <c r="B9" t="s">
        <v>17</v>
      </c>
      <c r="C9" s="43" t="s">
        <v>24</v>
      </c>
      <c r="D9" s="57">
        <v>0.32</v>
      </c>
    </row>
    <row r="10" spans="1:7" x14ac:dyDescent="0.3">
      <c r="A10" t="str">
        <f t="shared" si="0"/>
        <v>Moderado - TIJOLO</v>
      </c>
      <c r="B10" t="s">
        <v>17</v>
      </c>
      <c r="C10" s="43" t="s">
        <v>25</v>
      </c>
      <c r="D10" s="57">
        <v>0.35</v>
      </c>
    </row>
    <row r="11" spans="1:7" x14ac:dyDescent="0.3">
      <c r="A11" t="str">
        <f t="shared" si="0"/>
        <v>Moderado - HÍBRIDOS</v>
      </c>
      <c r="B11" t="s">
        <v>17</v>
      </c>
      <c r="C11" s="43" t="s">
        <v>26</v>
      </c>
      <c r="D11" s="57">
        <v>0.08</v>
      </c>
    </row>
    <row r="12" spans="1:7" x14ac:dyDescent="0.3">
      <c r="A12" t="str">
        <f t="shared" si="0"/>
        <v>Moderado - FOFs</v>
      </c>
      <c r="B12" t="s">
        <v>17</v>
      </c>
      <c r="C12" s="43" t="s">
        <v>27</v>
      </c>
      <c r="D12" s="57">
        <v>0.05</v>
      </c>
    </row>
    <row r="13" spans="1:7" x14ac:dyDescent="0.3">
      <c r="A13" t="str">
        <f t="shared" si="0"/>
        <v>Moderado - DESENVOLVIMENTO</v>
      </c>
      <c r="B13" t="s">
        <v>17</v>
      </c>
      <c r="C13" s="43" t="s">
        <v>28</v>
      </c>
      <c r="D13" s="57">
        <v>0.1</v>
      </c>
    </row>
    <row r="14" spans="1:7" x14ac:dyDescent="0.3">
      <c r="A14" s="50" t="str">
        <f t="shared" si="0"/>
        <v>Moderado - HOTELARIAS</v>
      </c>
      <c r="B14" s="50" t="s">
        <v>17</v>
      </c>
      <c r="C14" s="51" t="s">
        <v>29</v>
      </c>
      <c r="D14" s="58">
        <v>0.1</v>
      </c>
    </row>
    <row r="15" spans="1:7" x14ac:dyDescent="0.3">
      <c r="A15" t="str">
        <f t="shared" si="0"/>
        <v>Agressivo - PAPEL</v>
      </c>
      <c r="B15" t="s">
        <v>18</v>
      </c>
      <c r="C15" s="43" t="s">
        <v>24</v>
      </c>
      <c r="D15" s="57">
        <v>0.5</v>
      </c>
    </row>
    <row r="16" spans="1:7" x14ac:dyDescent="0.3">
      <c r="A16" t="str">
        <f t="shared" si="0"/>
        <v>Agressivo - TIJOLO</v>
      </c>
      <c r="B16" t="s">
        <v>18</v>
      </c>
      <c r="C16" s="43" t="s">
        <v>25</v>
      </c>
      <c r="D16" s="57">
        <v>0.1</v>
      </c>
    </row>
    <row r="17" spans="1:4" x14ac:dyDescent="0.3">
      <c r="A17" t="str">
        <f t="shared" si="0"/>
        <v>Agressivo - HÍBRIDOS</v>
      </c>
      <c r="B17" t="s">
        <v>18</v>
      </c>
      <c r="C17" s="43" t="s">
        <v>26</v>
      </c>
      <c r="D17" s="57">
        <v>0.05</v>
      </c>
    </row>
    <row r="18" spans="1:4" x14ac:dyDescent="0.3">
      <c r="A18" s="53" t="str">
        <f t="shared" si="0"/>
        <v>Agressivo - FOFs</v>
      </c>
      <c r="B18" s="53" t="s">
        <v>18</v>
      </c>
      <c r="C18" s="54" t="s">
        <v>27</v>
      </c>
      <c r="D18" s="59">
        <v>0.05</v>
      </c>
    </row>
    <row r="19" spans="1:4" x14ac:dyDescent="0.3">
      <c r="A19" s="53" t="str">
        <f t="shared" si="0"/>
        <v>Agressivo - DESENVOLVIMENTO</v>
      </c>
      <c r="B19" s="53" t="s">
        <v>18</v>
      </c>
      <c r="C19" s="54" t="s">
        <v>28</v>
      </c>
      <c r="D19" s="59">
        <v>0.2</v>
      </c>
    </row>
    <row r="20" spans="1:4" x14ac:dyDescent="0.3">
      <c r="A20" s="50" t="str">
        <f t="shared" si="0"/>
        <v>Agressivo - HOTELARIAS</v>
      </c>
      <c r="B20" s="50" t="s">
        <v>18</v>
      </c>
      <c r="C20" s="51" t="s">
        <v>29</v>
      </c>
      <c r="D20" s="52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LARISSA BIAJANTE</dc:creator>
  <cp:lastModifiedBy>LARISSA BIAJANTE</cp:lastModifiedBy>
  <dcterms:created xsi:type="dcterms:W3CDTF">2026-02-08T23:01:24Z</dcterms:created>
  <dcterms:modified xsi:type="dcterms:W3CDTF">2026-02-09T00:34:30Z</dcterms:modified>
</cp:coreProperties>
</file>